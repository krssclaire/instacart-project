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rist\OneDrive\Desktop\ds\instacart-project\output\"/>
    </mc:Choice>
  </mc:AlternateContent>
  <xr:revisionPtr revIDLastSave="0" documentId="13_ncr:1_{34EB9C82-F651-47CF-B143-F2274BDD2A5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rending_hrs" sheetId="2" r:id="rId1"/>
    <sheet name="trending_dow" sheetId="3" r:id="rId2"/>
    <sheet name="Sheet1" sheetId="1" r:id="rId3"/>
  </sheets>
  <definedNames>
    <definedName name="ExternalData_1" localSheetId="1" hidden="1">trending_dow!$A$1:$F$8</definedName>
    <definedName name="ExternalData_1" localSheetId="0" hidden="1">trending_hrs!$A$1:$F$25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H2" i="2" s="1"/>
  <c r="E26" i="2"/>
  <c r="G10" i="2" s="1"/>
  <c r="G2" i="2" l="1"/>
  <c r="G25" i="2"/>
  <c r="H11" i="2"/>
  <c r="H16" i="2"/>
  <c r="H5" i="2"/>
  <c r="H14" i="2"/>
  <c r="H9" i="2"/>
  <c r="H25" i="2"/>
  <c r="H23" i="2"/>
  <c r="H21" i="2"/>
  <c r="H4" i="2"/>
  <c r="H17" i="2"/>
  <c r="H13" i="2"/>
  <c r="H10" i="2"/>
  <c r="I10" i="2" s="1"/>
  <c r="H8" i="2"/>
  <c r="H7" i="2"/>
  <c r="H22" i="2"/>
  <c r="H20" i="2"/>
  <c r="H3" i="2"/>
  <c r="H15" i="2"/>
  <c r="H12" i="2"/>
  <c r="H24" i="2"/>
  <c r="H6" i="2"/>
  <c r="H19" i="2"/>
  <c r="H18" i="2"/>
  <c r="G9" i="2"/>
  <c r="I9" i="2" s="1"/>
  <c r="G23" i="2"/>
  <c r="I23" i="2" s="1"/>
  <c r="G5" i="2"/>
  <c r="I5" i="2" s="1"/>
  <c r="G3" i="2"/>
  <c r="I3" i="2" s="1"/>
  <c r="G18" i="2"/>
  <c r="I18" i="2" s="1"/>
  <c r="G17" i="2"/>
  <c r="I17" i="2" s="1"/>
  <c r="G16" i="2"/>
  <c r="I16" i="2" s="1"/>
  <c r="G24" i="2"/>
  <c r="G22" i="2"/>
  <c r="G19" i="2"/>
  <c r="I2" i="2"/>
  <c r="G15" i="2"/>
  <c r="G14" i="2"/>
  <c r="I14" i="2" s="1"/>
  <c r="G8" i="2"/>
  <c r="G6" i="2"/>
  <c r="I6" i="2" s="1"/>
  <c r="G13" i="2"/>
  <c r="G7" i="2"/>
  <c r="G21" i="2"/>
  <c r="G4" i="2"/>
  <c r="I4" i="2" s="1"/>
  <c r="G12" i="2"/>
  <c r="I12" i="2" s="1"/>
  <c r="G20" i="2"/>
  <c r="I20" i="2" s="1"/>
  <c r="G11" i="2"/>
  <c r="I11" i="2" s="1"/>
  <c r="I21" i="2" l="1"/>
  <c r="I15" i="2"/>
  <c r="I22" i="2"/>
  <c r="I19" i="2"/>
  <c r="I7" i="2"/>
  <c r="I25" i="2"/>
  <c r="I13" i="2"/>
  <c r="I8" i="2"/>
  <c r="I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13F6D-6E66-47DC-A53E-B3EEDA6ECC7A}" keepAlive="1" name="Query - trending_dow" description="Connection to the 'trending_dow' query in the workbook." type="5" refreshedVersion="8" background="1" saveData="1">
    <dbPr connection="Provider=Microsoft.Mashup.OleDb.1;Data Source=$Workbook$;Location=trending_dow;Extended Properties=&quot;&quot;" command="SELECT * FROM [trending_dow]"/>
  </connection>
  <connection id="2" xr16:uid="{A9161CC6-8F65-4679-AA55-8AB51114E0FC}" keepAlive="1" name="Query - trending_hrs" description="Connection to the 'trending_hrs' query in the workbook." type="5" refreshedVersion="8" background="1" saveData="1">
    <dbPr connection="Provider=Microsoft.Mashup.OleDb.1;Data Source=$Workbook$;Location=trending_hrs;Extended Properties=&quot;&quot;" command="SELECT * FROM [trending_hrs]"/>
  </connection>
</connections>
</file>

<file path=xl/sharedStrings.xml><?xml version="1.0" encoding="utf-8"?>
<sst xmlns="http://schemas.openxmlformats.org/spreadsheetml/2006/main" count="15" uniqueCount="11">
  <si>
    <t>order_hour_of_day</t>
  </si>
  <si>
    <t>q2_users_count</t>
  </si>
  <si>
    <t>q2_orders_count</t>
  </si>
  <si>
    <t>order_hour_of_day (1)</t>
  </si>
  <si>
    <t>q3_users_count</t>
  </si>
  <si>
    <t>q3_orders_count</t>
  </si>
  <si>
    <t>% on tot q2 orders</t>
  </si>
  <si>
    <t>% on tot q3 orders</t>
  </si>
  <si>
    <t>delta orders</t>
  </si>
  <si>
    <t>order_dow</t>
  </si>
  <si>
    <t>order_dow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</si>
</sst>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0" fontId="0" fillId="0" borderId="0" xfId="1" applyNumberFormat="1" applyFont="1"/>
    <xf numFmtId="9" fontId="1" fillId="0" borderId="0" xfId="0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</a:t>
            </a:r>
            <a:r>
              <a:rPr lang="en-GB" baseline="0"/>
              <a:t>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trending_hrs!$E$1</c:f>
              <c:strCache>
                <c:ptCount val="1"/>
                <c:pt idx="0">
                  <c:v>q2_orders_count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trending_hrs!$D$2:$D$25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trending_hrs!$E$2:$E$25</c:f>
              <c:numCache>
                <c:formatCode>General</c:formatCode>
                <c:ptCount val="2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97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F-435A-8239-55B76066EE75}"/>
            </c:ext>
          </c:extLst>
        </c:ser>
        <c:ser>
          <c:idx val="1"/>
          <c:order val="1"/>
          <c:tx>
            <c:strRef>
              <c:f>trending_hrs!$F$1</c:f>
              <c:strCache>
                <c:ptCount val="1"/>
                <c:pt idx="0">
                  <c:v>q3_orders_count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trending_hrs!$D$2:$D$25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trending_hrs!$F$2:$F$25</c:f>
              <c:numCache>
                <c:formatCode>General</c:formatCode>
                <c:ptCount val="24"/>
                <c:pt idx="0">
                  <c:v>68</c:v>
                </c:pt>
                <c:pt idx="1">
                  <c:v>58</c:v>
                </c:pt>
                <c:pt idx="2">
                  <c:v>50</c:v>
                </c:pt>
                <c:pt idx="3">
                  <c:v>46</c:v>
                </c:pt>
                <c:pt idx="4">
                  <c:v>47</c:v>
                </c:pt>
                <c:pt idx="5">
                  <c:v>63</c:v>
                </c:pt>
                <c:pt idx="6">
                  <c:v>83</c:v>
                </c:pt>
                <c:pt idx="7">
                  <c:v>94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97</c:v>
                </c:pt>
                <c:pt idx="12">
                  <c:v>97</c:v>
                </c:pt>
                <c:pt idx="13">
                  <c:v>96</c:v>
                </c:pt>
                <c:pt idx="14">
                  <c:v>97</c:v>
                </c:pt>
                <c:pt idx="15">
                  <c:v>97</c:v>
                </c:pt>
                <c:pt idx="16">
                  <c:v>95</c:v>
                </c:pt>
                <c:pt idx="17">
                  <c:v>97</c:v>
                </c:pt>
                <c:pt idx="18">
                  <c:v>96</c:v>
                </c:pt>
                <c:pt idx="19">
                  <c:v>93</c:v>
                </c:pt>
                <c:pt idx="20">
                  <c:v>91</c:v>
                </c:pt>
                <c:pt idx="21">
                  <c:v>91</c:v>
                </c:pt>
                <c:pt idx="22">
                  <c:v>91</c:v>
                </c:pt>
                <c:pt idx="2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F-435A-8239-55B76066E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64111"/>
        <c:axId val="314162671"/>
      </c:barChart>
      <c:catAx>
        <c:axId val="3141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62671"/>
        <c:crosses val="autoZero"/>
        <c:auto val="1"/>
        <c:lblAlgn val="ctr"/>
        <c:lblOffset val="100"/>
        <c:noMultiLvlLbl val="0"/>
      </c:catAx>
      <c:valAx>
        <c:axId val="3141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6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variations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trending_hrs!$I$1</c:f>
              <c:strCache>
                <c:ptCount val="1"/>
                <c:pt idx="0">
                  <c:v>delta 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trending_hrs!$I$2:$I$26</c:f>
              <c:numCache>
                <c:formatCode>0.00%</c:formatCode>
                <c:ptCount val="24"/>
                <c:pt idx="0">
                  <c:v>8.0384028293309512E-3</c:v>
                </c:pt>
                <c:pt idx="1">
                  <c:v>1.2988897878835903E-2</c:v>
                </c:pt>
                <c:pt idx="2">
                  <c:v>1.6949293918439863E-2</c:v>
                </c:pt>
                <c:pt idx="3">
                  <c:v>1.8087031955091044E-2</c:v>
                </c:pt>
                <c:pt idx="4">
                  <c:v>1.843444243329135E-2</c:v>
                </c:pt>
                <c:pt idx="5">
                  <c:v>1.0513650354083429E-2</c:v>
                </c:pt>
                <c:pt idx="6">
                  <c:v>6.1266025507352578E-4</c:v>
                </c:pt>
                <c:pt idx="7">
                  <c:v>-4.8328842993819177E-3</c:v>
                </c:pt>
                <c:pt idx="8">
                  <c:v>-5.8229833092829086E-3</c:v>
                </c:pt>
                <c:pt idx="9">
                  <c:v>-5.8229833092829086E-3</c:v>
                </c:pt>
                <c:pt idx="10">
                  <c:v>-5.8229833092829086E-3</c:v>
                </c:pt>
                <c:pt idx="11">
                  <c:v>-6.3180328142334041E-3</c:v>
                </c:pt>
                <c:pt idx="12">
                  <c:v>-6.3180328142334041E-3</c:v>
                </c:pt>
                <c:pt idx="13">
                  <c:v>-5.8229833092829086E-3</c:v>
                </c:pt>
                <c:pt idx="14">
                  <c:v>-6.3180328142334041E-3</c:v>
                </c:pt>
                <c:pt idx="15">
                  <c:v>-6.3180328142334041E-3</c:v>
                </c:pt>
                <c:pt idx="16">
                  <c:v>-5.3279338043324131E-3</c:v>
                </c:pt>
                <c:pt idx="17">
                  <c:v>-6.3180328142334041E-3</c:v>
                </c:pt>
                <c:pt idx="18">
                  <c:v>-5.8229833092829086E-3</c:v>
                </c:pt>
                <c:pt idx="19">
                  <c:v>-4.3378347944314222E-3</c:v>
                </c:pt>
                <c:pt idx="20">
                  <c:v>-3.3477357845304312E-3</c:v>
                </c:pt>
                <c:pt idx="21">
                  <c:v>-3.3477357845304312E-3</c:v>
                </c:pt>
                <c:pt idx="22">
                  <c:v>-3.3477357845304312E-3</c:v>
                </c:pt>
                <c:pt idx="23">
                  <c:v>-3.7743875482746519E-4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3-4C92-9A4E-3B2077CF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167951"/>
        <c:axId val="314168911"/>
      </c:lineChart>
      <c:catAx>
        <c:axId val="3141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68911"/>
        <c:crosses val="autoZero"/>
        <c:auto val="1"/>
        <c:lblAlgn val="ctr"/>
        <c:lblOffset val="100"/>
        <c:noMultiLvlLbl val="0"/>
      </c:catAx>
      <c:valAx>
        <c:axId val="3141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6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Users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trending_hrs!$B$1</c:f>
              <c:strCache>
                <c:ptCount val="1"/>
                <c:pt idx="0">
                  <c:v>q2_users_count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trending_hrs!$A$2:$A$25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trending_hrs!$B$2:$B$25</c:f>
              <c:numCache>
                <c:formatCode>General</c:formatCode>
                <c:ptCount val="24"/>
                <c:pt idx="0">
                  <c:v>15386</c:v>
                </c:pt>
                <c:pt idx="1">
                  <c:v>8808</c:v>
                </c:pt>
                <c:pt idx="2">
                  <c:v>5605</c:v>
                </c:pt>
                <c:pt idx="3">
                  <c:v>4237</c:v>
                </c:pt>
                <c:pt idx="4">
                  <c:v>4290</c:v>
                </c:pt>
                <c:pt idx="5">
                  <c:v>6827</c:v>
                </c:pt>
                <c:pt idx="6">
                  <c:v>18223</c:v>
                </c:pt>
                <c:pt idx="7">
                  <c:v>44249</c:v>
                </c:pt>
                <c:pt idx="8">
                  <c:v>73923</c:v>
                </c:pt>
                <c:pt idx="9">
                  <c:v>96512</c:v>
                </c:pt>
                <c:pt idx="10">
                  <c:v>108547</c:v>
                </c:pt>
                <c:pt idx="11">
                  <c:v>112873</c:v>
                </c:pt>
                <c:pt idx="12">
                  <c:v>113143</c:v>
                </c:pt>
                <c:pt idx="13">
                  <c:v>114318</c:v>
                </c:pt>
                <c:pt idx="14">
                  <c:v>114950</c:v>
                </c:pt>
                <c:pt idx="15">
                  <c:v>115100</c:v>
                </c:pt>
                <c:pt idx="16">
                  <c:v>111744</c:v>
                </c:pt>
                <c:pt idx="17">
                  <c:v>99630</c:v>
                </c:pt>
                <c:pt idx="18">
                  <c:v>85032</c:v>
                </c:pt>
                <c:pt idx="19">
                  <c:v>70212</c:v>
                </c:pt>
                <c:pt idx="20">
                  <c:v>56006</c:v>
                </c:pt>
                <c:pt idx="21">
                  <c:v>43451</c:v>
                </c:pt>
                <c:pt idx="22">
                  <c:v>35492</c:v>
                </c:pt>
                <c:pt idx="23">
                  <c:v>24866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6-48E6-9BB2-3BF4EC7BB6CF}"/>
            </c:ext>
          </c:extLst>
        </c:ser>
        <c:ser>
          <c:idx val="1"/>
          <c:order val="1"/>
          <c:tx>
            <c:strRef>
              <c:f>trending_hrs!$C$1</c:f>
              <c:strCache>
                <c:ptCount val="1"/>
                <c:pt idx="0">
                  <c:v>q3_users_count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trending_hrs!$A$2:$A$25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trending_hrs!$C$2:$C$25</c:f>
              <c:numCache>
                <c:formatCode>General</c:formatCode>
                <c:ptCount val="24"/>
                <c:pt idx="0">
                  <c:v>852</c:v>
                </c:pt>
                <c:pt idx="1">
                  <c:v>507</c:v>
                </c:pt>
                <c:pt idx="2">
                  <c:v>305</c:v>
                </c:pt>
                <c:pt idx="3">
                  <c:v>223</c:v>
                </c:pt>
                <c:pt idx="4">
                  <c:v>218</c:v>
                </c:pt>
                <c:pt idx="5">
                  <c:v>402</c:v>
                </c:pt>
                <c:pt idx="6">
                  <c:v>1121</c:v>
                </c:pt>
                <c:pt idx="7">
                  <c:v>3376</c:v>
                </c:pt>
                <c:pt idx="8">
                  <c:v>6343</c:v>
                </c:pt>
                <c:pt idx="9">
                  <c:v>9033</c:v>
                </c:pt>
                <c:pt idx="10">
                  <c:v>10585</c:v>
                </c:pt>
                <c:pt idx="11">
                  <c:v>10610</c:v>
                </c:pt>
                <c:pt idx="12">
                  <c:v>10622</c:v>
                </c:pt>
                <c:pt idx="13">
                  <c:v>10711</c:v>
                </c:pt>
                <c:pt idx="14">
                  <c:v>11103</c:v>
                </c:pt>
                <c:pt idx="15">
                  <c:v>11075</c:v>
                </c:pt>
                <c:pt idx="16">
                  <c:v>10495</c:v>
                </c:pt>
                <c:pt idx="17">
                  <c:v>9353</c:v>
                </c:pt>
                <c:pt idx="18">
                  <c:v>7558</c:v>
                </c:pt>
                <c:pt idx="19">
                  <c:v>5721</c:v>
                </c:pt>
                <c:pt idx="20">
                  <c:v>3978</c:v>
                </c:pt>
                <c:pt idx="21">
                  <c:v>3050</c:v>
                </c:pt>
                <c:pt idx="22">
                  <c:v>2442</c:v>
                </c:pt>
                <c:pt idx="23">
                  <c:v>1526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6-48E6-9BB2-3BF4EC7B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871807"/>
        <c:axId val="1578874207"/>
      </c:lineChart>
      <c:catAx>
        <c:axId val="15788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74207"/>
        <c:crosses val="autoZero"/>
        <c:auto val="1"/>
        <c:lblAlgn val="ctr"/>
        <c:lblOffset val="100"/>
        <c:noMultiLvlLbl val="0"/>
      </c:catAx>
      <c:valAx>
        <c:axId val="15788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7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Users</a:t>
            </a:r>
            <a:r>
              <a:rPr lang="en-GB" baseline="0"/>
              <a:t>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trending_dow!$B$1</c:f>
              <c:strCache>
                <c:ptCount val="1"/>
                <c:pt idx="0">
                  <c:v>q2_users_count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trending_dow!$A$2:$A$8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trending_dow!$B$2:$B$8</c:f>
              <c:numCache>
                <c:formatCode>General</c:formatCode>
                <c:ptCount val="7"/>
                <c:pt idx="0">
                  <c:v>145300</c:v>
                </c:pt>
                <c:pt idx="1">
                  <c:v>151528</c:v>
                </c:pt>
                <c:pt idx="2">
                  <c:v>140248</c:v>
                </c:pt>
                <c:pt idx="3">
                  <c:v>135375</c:v>
                </c:pt>
                <c:pt idx="4">
                  <c:v>132186</c:v>
                </c:pt>
                <c:pt idx="5">
                  <c:v>133893</c:v>
                </c:pt>
                <c:pt idx="6">
                  <c:v>128327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E-43B8-A376-55121ECC5945}"/>
            </c:ext>
          </c:extLst>
        </c:ser>
        <c:ser>
          <c:idx val="1"/>
          <c:order val="1"/>
          <c:tx>
            <c:strRef>
              <c:f>trending_dow!$C$1</c:f>
              <c:strCache>
                <c:ptCount val="1"/>
                <c:pt idx="0">
                  <c:v>q3_users_count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trending_dow!$A$2:$A$8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trending_dow!$C$2:$C$8</c:f>
              <c:numCache>
                <c:formatCode>General</c:formatCode>
                <c:ptCount val="7"/>
                <c:pt idx="0">
                  <c:v>27465</c:v>
                </c:pt>
                <c:pt idx="1">
                  <c:v>19672</c:v>
                </c:pt>
                <c:pt idx="2">
                  <c:v>16119</c:v>
                </c:pt>
                <c:pt idx="3">
                  <c:v>15687</c:v>
                </c:pt>
                <c:pt idx="4">
                  <c:v>15959</c:v>
                </c:pt>
                <c:pt idx="5">
                  <c:v>17406</c:v>
                </c:pt>
                <c:pt idx="6">
                  <c:v>18901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E-43B8-A376-55121ECC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911663"/>
        <c:axId val="1577912143"/>
      </c:barChart>
      <c:catAx>
        <c:axId val="157791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12143"/>
        <c:crosses val="autoZero"/>
        <c:auto val="1"/>
        <c:lblAlgn val="ctr"/>
        <c:lblOffset val="100"/>
        <c:noMultiLvlLbl val="0"/>
      </c:catAx>
      <c:valAx>
        <c:axId val="15779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1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trending_dow!$E$1</c:f>
              <c:strCache>
                <c:ptCount val="1"/>
                <c:pt idx="0">
                  <c:v>q2_orders_count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trending_dow!$D$2:$D$8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trending_dow!$E$2:$E$8</c:f>
              <c:numCache>
                <c:formatCode>General</c:formatCode>
                <c:ptCount val="7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2-4B19-ADF7-F3F981105917}"/>
            </c:ext>
          </c:extLst>
        </c:ser>
        <c:ser>
          <c:idx val="1"/>
          <c:order val="1"/>
          <c:tx>
            <c:strRef>
              <c:f>trending_dow!$F$1</c:f>
              <c:strCache>
                <c:ptCount val="1"/>
                <c:pt idx="0">
                  <c:v>q3_orders_count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trending_dow!$D$2:$D$8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trending_dow!$F$2:$F$8</c:f>
              <c:numCache>
                <c:formatCode>General</c:formatCode>
                <c:ptCount val="7"/>
                <c:pt idx="0">
                  <c:v>97</c:v>
                </c:pt>
                <c:pt idx="1">
                  <c:v>92</c:v>
                </c:pt>
                <c:pt idx="2">
                  <c:v>95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2-4B19-ADF7-F3F981105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277263"/>
        <c:axId val="1501280623"/>
      </c:lineChart>
      <c:catAx>
        <c:axId val="15012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80623"/>
        <c:crosses val="autoZero"/>
        <c:auto val="1"/>
        <c:lblAlgn val="ctr"/>
        <c:lblOffset val="100"/>
        <c:noMultiLvlLbl val="0"/>
      </c:catAx>
      <c:valAx>
        <c:axId val="150128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317500</xdr:colOff>
      <xdr:row>0</xdr:row>
      <xdr:rowOff>179070</xdr:rowOff>
    </xdr:from>
    <xdr:to>
      <xdr:col>25</xdr:col>
      <xdr:colOff>11113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FD661-FABC-CB6F-C9EB-B7277FF54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324167</xdr:colOff>
      <xdr:row>17</xdr:row>
      <xdr:rowOff>6350</xdr:rowOff>
    </xdr:from>
    <xdr:to>
      <xdr:col>25</xdr:col>
      <xdr:colOff>17780</xdr:colOff>
      <xdr:row>32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0FB722-8198-2CBC-2975-8C5D0684C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309563</xdr:colOff>
      <xdr:row>1</xdr:row>
      <xdr:rowOff>1588</xdr:rowOff>
    </xdr:from>
    <xdr:to>
      <xdr:col>16</xdr:col>
      <xdr:colOff>603250</xdr:colOff>
      <xdr:row>16</xdr:row>
      <xdr:rowOff>6351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0E9666-C220-BCC4-1A6C-2A4C9CE22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1043940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C564C-17D0-DEDA-9618-94D1B73D6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411480</xdr:colOff>
      <xdr:row>9</xdr:row>
      <xdr:rowOff>0</xdr:rowOff>
    </xdr:from>
    <xdr:to>
      <xdr:col>9</xdr:col>
      <xdr:colOff>548640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46A03-0281-3210-DC10-B09F8AC8C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33A63F-769A-4723-8D7D-166C0D2CFE87}" autoFormatId="16" applyNumberFormats="0" applyBorderFormats="0" applyFontFormats="0" applyPatternFormats="0" applyAlignmentFormats="0" applyWidthHeightFormats="0">
  <queryTableRefresh nextId="16" unboundColumnsRight="3">
    <queryTableFields count="9">
      <queryTableField id="1" name="order_hour_of_day" tableColumnId="1"/>
      <queryTableField id="2" name="q2_users_count" tableColumnId="2"/>
      <queryTableField id="5" name="q3_users_count" tableColumnId="5"/>
      <queryTableField id="4" name="order_hour_of_day (1)" tableColumnId="4"/>
      <queryTableField id="3" name="q2_orders_count" tableColumnId="3"/>
      <queryTableField id="6" name="q3_orders_count" tableColumnId="6"/>
      <queryTableField id="12" dataBound="0" tableColumnId="10"/>
      <queryTableField id="13" dataBound="0" tableColumnId="11"/>
      <queryTableField id="14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5AD31F-2CD8-4FD2-9EE4-FFEA0B5A6E83}" autoFormatId="16" applyNumberFormats="0" applyBorderFormats="0" applyFontFormats="0" applyPatternFormats="0" applyAlignmentFormats="0" applyWidthHeightFormats="0">
  <queryTableRefresh nextId="11">
    <queryTableFields count="6">
      <queryTableField id="1" name="order_dow" tableColumnId="1"/>
      <queryTableField id="2" name="q2_users_count" tableColumnId="2"/>
      <queryTableField id="5" name="q3_users_count" tableColumnId="5"/>
      <queryTableField id="4" name="order_dow (1)" tableColumnId="4"/>
      <queryTableField id="3" name="q2_orders_count" tableColumnId="3"/>
      <queryTableField id="6" name="q3_orders_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9E182-BC85-450F-90E2-CEED22C81EAB}" name="trending_hrs" displayName="trending_hrs" ref="A1:I26" tableType="queryTable" totalsRowCount="1">
  <autoFilter ref="A1:I25" xr:uid="{9099E182-BC85-450F-90E2-CEED22C81EAB}"/>
  <tableColumns count="9">
    <tableColumn id="1" xr3:uid="{C47B6EDC-B6C3-40E3-9586-BC102DB15AF2}" uniqueName="1" name="order_hour_of_day" queryTableFieldId="1"/>
    <tableColumn id="2" xr3:uid="{E6E3D751-F38F-4AE6-BFDF-3EFAE2DF4B90}" uniqueName="2" name="q2_users_count" queryTableFieldId="2"/>
    <tableColumn id="5" xr3:uid="{6D4E84ED-FF29-4D6F-B5DA-25442C372DFA}" uniqueName="5" name="q3_users_count" queryTableFieldId="5"/>
    <tableColumn id="4" xr3:uid="{1D7AB401-BF22-42E6-8D65-C5BC73BE2A69}" uniqueName="4" name="order_hour_of_day (1)" queryTableFieldId="4"/>
    <tableColumn id="3" xr3:uid="{D2B82C9E-56EE-46D3-9D8E-B3DF3B4CC019}" uniqueName="3" name="q2_orders_count" totalsRowFunction="custom" queryTableFieldId="3">
      <totalsRowFormula>SUM(trending_hrs[q2_orders_count])</totalsRowFormula>
    </tableColumn>
    <tableColumn id="6" xr3:uid="{64AD81AF-9062-4CEA-8D42-77F8CF2A9958}" uniqueName="6" name="q3_orders_count" totalsRowFunction="custom" queryTableFieldId="6">
      <totalsRowFormula>SUM(trending_hrs[q3_orders_count])</totalsRowFormula>
    </tableColumn>
    <tableColumn id="10" xr3:uid="{AF67C52F-2EA9-49A1-9F53-F25A7891C359}" uniqueName="10" name="% on tot q2 orders" queryTableFieldId="12" dataDxfId="4" totalsRowDxfId="1" dataCellStyle="Per cent">
      <calculatedColumnFormula>trending_hrs[[#This Row],[q2_orders_count]]/trending_hrs[[#Totals],[q2_orders_count]]</calculatedColumnFormula>
    </tableColumn>
    <tableColumn id="11" xr3:uid="{08A2B0CE-7B97-44EB-B05E-1173F5010535}" uniqueName="11" name="% on tot q3 orders" queryTableFieldId="13" dataDxfId="3" totalsRowDxfId="0" dataCellStyle="Per cent" totalsRowCellStyle="Per cent">
      <calculatedColumnFormula>trending_hrs[[#This Row],[q3_orders_count]]/trending_hrs[[#Totals],[q3_orders_count]]</calculatedColumnFormula>
    </tableColumn>
    <tableColumn id="12" xr3:uid="{5F8327C7-B4A6-49F1-9FE5-D0D1D57E84BC}" uniqueName="12" name="delta orders" queryTableFieldId="14" dataDxfId="2">
      <calculatedColumnFormula>trending_hrs[[#This Row],[% on tot q2 orders]]-trending_hrs[[#This Row],[% on tot q3 orders]]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776C1-CEEF-451E-8440-747AA819F84A}" name="trending_dow" displayName="trending_dow" ref="A1:F8" tableType="queryTable" totalsRowShown="0">
  <autoFilter ref="A1:F8" xr:uid="{246776C1-CEEF-451E-8440-747AA819F84A}"/>
  <tableColumns count="6">
    <tableColumn id="1" xr3:uid="{00718031-172C-4542-9D30-E86FBFED8E15}" uniqueName="1" name="order_dow" queryTableFieldId="1"/>
    <tableColumn id="2" xr3:uid="{7CC82A1E-36A6-4C57-9945-52AF3982C34C}" uniqueName="2" name="q2_users_count" queryTableFieldId="2"/>
    <tableColumn id="5" xr3:uid="{B48117DD-6293-477B-88F6-646B27105FF6}" uniqueName="5" name="q3_users_count" queryTableFieldId="5"/>
    <tableColumn id="4" xr3:uid="{80873849-0763-4688-A81E-A83C7525B560}" uniqueName="4" name="order_dow (1)" queryTableFieldId="4"/>
    <tableColumn id="3" xr3:uid="{B29484C1-B4E0-4E6A-BD4E-002BC47272CF}" uniqueName="3" name="q2_orders_count" queryTableFieldId="3"/>
    <tableColumn id="6" xr3:uid="{A2A3DFAE-7C5E-4064-B02E-F8AF4B05F6ED}" uniqueName="6" name="q3_orders_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5DE7-63E5-4A19-B00A-36FA1F855290}">
  <dimension ref="A1:Q26"/>
  <sheetViews>
    <sheetView topLeftCell="F1" zoomScale="67" workbookViewId="0">
      <selection activeCell="P22" sqref="P22"/>
    </sheetView>
  </sheetViews>
  <sheetFormatPr defaultRowHeight="14.4" x14ac:dyDescent="0.3"/>
  <cols>
    <col min="1" max="1" width="19.88671875" bestFit="1" customWidth="1"/>
    <col min="2" max="2" width="16.6640625" bestFit="1" customWidth="1"/>
    <col min="3" max="3" width="16.6640625" customWidth="1"/>
    <col min="4" max="4" width="22.6640625" bestFit="1" customWidth="1"/>
    <col min="5" max="5" width="16.6640625" bestFit="1" customWidth="1"/>
    <col min="6" max="6" width="17.6640625" bestFit="1" customWidth="1"/>
    <col min="7" max="7" width="18.6640625" style="1" bestFit="1" customWidth="1"/>
    <col min="8" max="8" width="18.6640625" style="2" bestFit="1" customWidth="1"/>
  </cols>
  <sheetData>
    <row r="1" spans="1:17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s="1" t="s">
        <v>6</v>
      </c>
      <c r="H1" s="2" t="s">
        <v>7</v>
      </c>
      <c r="I1" t="s">
        <v>8</v>
      </c>
    </row>
    <row r="2" spans="1:17" x14ac:dyDescent="0.3">
      <c r="A2">
        <v>0</v>
      </c>
      <c r="B2">
        <v>15386</v>
      </c>
      <c r="C2">
        <v>852</v>
      </c>
      <c r="D2">
        <v>0</v>
      </c>
      <c r="E2">
        <v>99</v>
      </c>
      <c r="F2">
        <v>68</v>
      </c>
      <c r="G2" s="2">
        <f>trending_hrs[[#This Row],[q2_orders_count]]/trending_hrs[[#Totals],[q2_orders_count]]</f>
        <v>4.1701769165964617E-2</v>
      </c>
      <c r="H2" s="2">
        <f>trending_hrs[[#This Row],[q3_orders_count]]/trending_hrs[[#Totals],[q3_orders_count]]</f>
        <v>3.3663366336633666E-2</v>
      </c>
      <c r="I2" s="4">
        <f>trending_hrs[[#This Row],[% on tot q2 orders]]-trending_hrs[[#This Row],[% on tot q3 orders]]</f>
        <v>8.0384028293309512E-3</v>
      </c>
      <c r="J2" s="4"/>
      <c r="K2" s="4"/>
      <c r="L2" s="4"/>
      <c r="M2" s="4"/>
      <c r="N2" s="4"/>
      <c r="O2" s="4"/>
      <c r="P2" s="4"/>
      <c r="Q2" s="4"/>
    </row>
    <row r="3" spans="1:17" x14ac:dyDescent="0.3">
      <c r="A3">
        <v>1</v>
      </c>
      <c r="B3">
        <v>8808</v>
      </c>
      <c r="C3">
        <v>507</v>
      </c>
      <c r="D3">
        <v>1</v>
      </c>
      <c r="E3">
        <v>99</v>
      </c>
      <c r="F3">
        <v>58</v>
      </c>
      <c r="G3" s="2">
        <f>trending_hrs[[#This Row],[q2_orders_count]]/trending_hrs[[#Totals],[q2_orders_count]]</f>
        <v>4.1701769165964617E-2</v>
      </c>
      <c r="H3" s="2">
        <f>trending_hrs[[#This Row],[q3_orders_count]]/trending_hrs[[#Totals],[q3_orders_count]]</f>
        <v>2.8712871287128714E-2</v>
      </c>
      <c r="I3" s="4">
        <f>trending_hrs[[#This Row],[% on tot q2 orders]]-trending_hrs[[#This Row],[% on tot q3 orders]]</f>
        <v>1.2988897878835903E-2</v>
      </c>
      <c r="J3" s="4"/>
      <c r="K3" s="4"/>
      <c r="L3" s="4"/>
      <c r="M3" s="4"/>
      <c r="N3" s="4"/>
      <c r="O3" s="4"/>
      <c r="P3" s="4"/>
      <c r="Q3" s="4"/>
    </row>
    <row r="4" spans="1:17" x14ac:dyDescent="0.3">
      <c r="A4">
        <v>2</v>
      </c>
      <c r="B4">
        <v>5605</v>
      </c>
      <c r="C4">
        <v>305</v>
      </c>
      <c r="D4">
        <v>2</v>
      </c>
      <c r="E4">
        <v>99</v>
      </c>
      <c r="F4">
        <v>50</v>
      </c>
      <c r="G4" s="2">
        <f>trending_hrs[[#This Row],[q2_orders_count]]/trending_hrs[[#Totals],[q2_orders_count]]</f>
        <v>4.1701769165964617E-2</v>
      </c>
      <c r="H4" s="2">
        <f>trending_hrs[[#This Row],[q3_orders_count]]/trending_hrs[[#Totals],[q3_orders_count]]</f>
        <v>2.4752475247524754E-2</v>
      </c>
      <c r="I4" s="4">
        <f>trending_hrs[[#This Row],[% on tot q2 orders]]-trending_hrs[[#This Row],[% on tot q3 orders]]</f>
        <v>1.6949293918439863E-2</v>
      </c>
      <c r="J4" s="4"/>
      <c r="K4" s="4"/>
      <c r="L4" s="4"/>
      <c r="M4" s="4"/>
      <c r="N4" s="4"/>
      <c r="O4" s="4"/>
      <c r="P4" s="4"/>
      <c r="Q4" s="4"/>
    </row>
    <row r="5" spans="1:17" x14ac:dyDescent="0.3">
      <c r="A5">
        <v>3</v>
      </c>
      <c r="B5">
        <v>4237</v>
      </c>
      <c r="C5">
        <v>223</v>
      </c>
      <c r="D5">
        <v>3</v>
      </c>
      <c r="E5">
        <v>97</v>
      </c>
      <c r="F5">
        <v>46</v>
      </c>
      <c r="G5" s="2">
        <f>trending_hrs[[#This Row],[q2_orders_count]]/trending_hrs[[#Totals],[q2_orders_count]]</f>
        <v>4.0859309182813816E-2</v>
      </c>
      <c r="H5" s="2">
        <f>trending_hrs[[#This Row],[q3_orders_count]]/trending_hrs[[#Totals],[q3_orders_count]]</f>
        <v>2.2772277227722772E-2</v>
      </c>
      <c r="I5" s="4">
        <f>trending_hrs[[#This Row],[% on tot q2 orders]]-trending_hrs[[#This Row],[% on tot q3 orders]]</f>
        <v>1.8087031955091044E-2</v>
      </c>
      <c r="J5" s="4"/>
      <c r="K5" s="4"/>
      <c r="L5" s="4"/>
      <c r="M5" s="4"/>
      <c r="N5" s="4"/>
      <c r="O5" s="4"/>
      <c r="P5" s="4"/>
      <c r="Q5" s="4"/>
    </row>
    <row r="6" spans="1:17" x14ac:dyDescent="0.3">
      <c r="A6">
        <v>4</v>
      </c>
      <c r="B6">
        <v>4290</v>
      </c>
      <c r="C6">
        <v>218</v>
      </c>
      <c r="D6">
        <v>4</v>
      </c>
      <c r="E6">
        <v>99</v>
      </c>
      <c r="F6">
        <v>47</v>
      </c>
      <c r="G6" s="2">
        <f>trending_hrs[[#This Row],[q2_orders_count]]/trending_hrs[[#Totals],[q2_orders_count]]</f>
        <v>4.1701769165964617E-2</v>
      </c>
      <c r="H6" s="2">
        <f>trending_hrs[[#This Row],[q3_orders_count]]/trending_hrs[[#Totals],[q3_orders_count]]</f>
        <v>2.3267326732673267E-2</v>
      </c>
      <c r="I6" s="4">
        <f>trending_hrs[[#This Row],[% on tot q2 orders]]-trending_hrs[[#This Row],[% on tot q3 orders]]</f>
        <v>1.843444243329135E-2</v>
      </c>
      <c r="J6" s="4"/>
      <c r="K6" s="4"/>
      <c r="L6" s="4"/>
      <c r="M6" s="4"/>
      <c r="N6" s="4"/>
      <c r="O6" s="4"/>
      <c r="P6" s="4"/>
      <c r="Q6" s="4"/>
    </row>
    <row r="7" spans="1:17" x14ac:dyDescent="0.3">
      <c r="A7">
        <v>5</v>
      </c>
      <c r="B7">
        <v>6827</v>
      </c>
      <c r="C7">
        <v>402</v>
      </c>
      <c r="D7">
        <v>5</v>
      </c>
      <c r="E7">
        <v>99</v>
      </c>
      <c r="F7">
        <v>63</v>
      </c>
      <c r="G7" s="2">
        <f>trending_hrs[[#This Row],[q2_orders_count]]/trending_hrs[[#Totals],[q2_orders_count]]</f>
        <v>4.1701769165964617E-2</v>
      </c>
      <c r="H7" s="2">
        <f>trending_hrs[[#This Row],[q3_orders_count]]/trending_hrs[[#Totals],[q3_orders_count]]</f>
        <v>3.1188118811881188E-2</v>
      </c>
      <c r="I7" s="4">
        <f>trending_hrs[[#This Row],[% on tot q2 orders]]-trending_hrs[[#This Row],[% on tot q3 orders]]</f>
        <v>1.0513650354083429E-2</v>
      </c>
      <c r="J7" s="4"/>
      <c r="K7" s="4"/>
      <c r="L7" s="4"/>
      <c r="M7" s="4"/>
      <c r="N7" s="4"/>
      <c r="O7" s="4"/>
      <c r="P7" s="4"/>
      <c r="Q7" s="4"/>
    </row>
    <row r="8" spans="1:17" x14ac:dyDescent="0.3">
      <c r="A8">
        <v>6</v>
      </c>
      <c r="B8">
        <v>18223</v>
      </c>
      <c r="C8">
        <v>1121</v>
      </c>
      <c r="D8">
        <v>6</v>
      </c>
      <c r="E8">
        <v>99</v>
      </c>
      <c r="F8">
        <v>83</v>
      </c>
      <c r="G8" s="2">
        <f>trending_hrs[[#This Row],[q2_orders_count]]/trending_hrs[[#Totals],[q2_orders_count]]</f>
        <v>4.1701769165964617E-2</v>
      </c>
      <c r="H8" s="2">
        <f>trending_hrs[[#This Row],[q3_orders_count]]/trending_hrs[[#Totals],[q3_orders_count]]</f>
        <v>4.1089108910891091E-2</v>
      </c>
      <c r="I8" s="4">
        <f>trending_hrs[[#This Row],[% on tot q2 orders]]-trending_hrs[[#This Row],[% on tot q3 orders]]</f>
        <v>6.1266025507352578E-4</v>
      </c>
      <c r="J8" s="4"/>
      <c r="K8" s="4"/>
      <c r="L8" s="4"/>
      <c r="M8" s="4"/>
      <c r="N8" s="4"/>
      <c r="O8" s="4"/>
      <c r="P8" s="4"/>
      <c r="Q8" s="4"/>
    </row>
    <row r="9" spans="1:17" x14ac:dyDescent="0.3">
      <c r="A9">
        <v>7</v>
      </c>
      <c r="B9">
        <v>44249</v>
      </c>
      <c r="C9">
        <v>3376</v>
      </c>
      <c r="D9">
        <v>7</v>
      </c>
      <c r="E9">
        <v>99</v>
      </c>
      <c r="F9">
        <v>94</v>
      </c>
      <c r="G9" s="2">
        <f>trending_hrs[[#This Row],[q2_orders_count]]/trending_hrs[[#Totals],[q2_orders_count]]</f>
        <v>4.1701769165964617E-2</v>
      </c>
      <c r="H9" s="2">
        <f>trending_hrs[[#This Row],[q3_orders_count]]/trending_hrs[[#Totals],[q3_orders_count]]</f>
        <v>4.6534653465346534E-2</v>
      </c>
      <c r="I9" s="4">
        <f>trending_hrs[[#This Row],[% on tot q2 orders]]-trending_hrs[[#This Row],[% on tot q3 orders]]</f>
        <v>-4.8328842993819177E-3</v>
      </c>
      <c r="J9" s="4"/>
      <c r="K9" s="4"/>
      <c r="L9" s="4"/>
      <c r="M9" s="4"/>
      <c r="N9" s="4"/>
      <c r="O9" s="4"/>
      <c r="P9" s="4"/>
      <c r="Q9" s="4"/>
    </row>
    <row r="10" spans="1:17" x14ac:dyDescent="0.3">
      <c r="A10">
        <v>8</v>
      </c>
      <c r="B10">
        <v>73923</v>
      </c>
      <c r="C10">
        <v>6343</v>
      </c>
      <c r="D10">
        <v>8</v>
      </c>
      <c r="E10">
        <v>99</v>
      </c>
      <c r="F10">
        <v>96</v>
      </c>
      <c r="G10" s="2">
        <f>trending_hrs[[#This Row],[q2_orders_count]]/trending_hrs[[#Totals],[q2_orders_count]]</f>
        <v>4.1701769165964617E-2</v>
      </c>
      <c r="H10" s="2">
        <f>trending_hrs[[#This Row],[q3_orders_count]]/trending_hrs[[#Totals],[q3_orders_count]]</f>
        <v>4.7524752475247525E-2</v>
      </c>
      <c r="I10" s="4">
        <f>trending_hrs[[#This Row],[% on tot q2 orders]]-trending_hrs[[#This Row],[% on tot q3 orders]]</f>
        <v>-5.8229833092829086E-3</v>
      </c>
      <c r="J10" s="4"/>
      <c r="K10" s="4"/>
      <c r="L10" s="4"/>
      <c r="M10" s="4"/>
      <c r="N10" s="4"/>
      <c r="O10" s="4"/>
      <c r="P10" s="4"/>
      <c r="Q10" s="4"/>
    </row>
    <row r="11" spans="1:17" x14ac:dyDescent="0.3">
      <c r="A11">
        <v>9</v>
      </c>
      <c r="B11">
        <v>96512</v>
      </c>
      <c r="C11">
        <v>9033</v>
      </c>
      <c r="D11">
        <v>9</v>
      </c>
      <c r="E11">
        <v>99</v>
      </c>
      <c r="F11">
        <v>96</v>
      </c>
      <c r="G11" s="2">
        <f>trending_hrs[[#This Row],[q2_orders_count]]/trending_hrs[[#Totals],[q2_orders_count]]</f>
        <v>4.1701769165964617E-2</v>
      </c>
      <c r="H11" s="2">
        <f>trending_hrs[[#This Row],[q3_orders_count]]/trending_hrs[[#Totals],[q3_orders_count]]</f>
        <v>4.7524752475247525E-2</v>
      </c>
      <c r="I11" s="4">
        <f>trending_hrs[[#This Row],[% on tot q2 orders]]-trending_hrs[[#This Row],[% on tot q3 orders]]</f>
        <v>-5.8229833092829086E-3</v>
      </c>
      <c r="J11" s="4"/>
      <c r="K11" s="4"/>
      <c r="L11" s="4"/>
      <c r="M11" s="4"/>
      <c r="N11" s="4"/>
      <c r="O11" s="4"/>
      <c r="P11" s="4"/>
      <c r="Q11" s="4"/>
    </row>
    <row r="12" spans="1:17" x14ac:dyDescent="0.3">
      <c r="A12">
        <v>10</v>
      </c>
      <c r="B12">
        <v>108547</v>
      </c>
      <c r="C12">
        <v>10585</v>
      </c>
      <c r="D12">
        <v>10</v>
      </c>
      <c r="E12">
        <v>99</v>
      </c>
      <c r="F12">
        <v>96</v>
      </c>
      <c r="G12" s="2">
        <f>trending_hrs[[#This Row],[q2_orders_count]]/trending_hrs[[#Totals],[q2_orders_count]]</f>
        <v>4.1701769165964617E-2</v>
      </c>
      <c r="H12" s="2">
        <f>trending_hrs[[#This Row],[q3_orders_count]]/trending_hrs[[#Totals],[q3_orders_count]]</f>
        <v>4.7524752475247525E-2</v>
      </c>
      <c r="I12" s="4">
        <f>trending_hrs[[#This Row],[% on tot q2 orders]]-trending_hrs[[#This Row],[% on tot q3 orders]]</f>
        <v>-5.8229833092829086E-3</v>
      </c>
      <c r="J12" s="4"/>
      <c r="K12" s="4"/>
      <c r="L12" s="4"/>
      <c r="M12" s="4"/>
      <c r="N12" s="4"/>
      <c r="O12" s="4"/>
      <c r="P12" s="4"/>
      <c r="Q12" s="4"/>
    </row>
    <row r="13" spans="1:17" x14ac:dyDescent="0.3">
      <c r="A13">
        <v>11</v>
      </c>
      <c r="B13">
        <v>112873</v>
      </c>
      <c r="C13">
        <v>10610</v>
      </c>
      <c r="D13">
        <v>11</v>
      </c>
      <c r="E13">
        <v>99</v>
      </c>
      <c r="F13">
        <v>97</v>
      </c>
      <c r="G13" s="2">
        <f>trending_hrs[[#This Row],[q2_orders_count]]/trending_hrs[[#Totals],[q2_orders_count]]</f>
        <v>4.1701769165964617E-2</v>
      </c>
      <c r="H13" s="2">
        <f>trending_hrs[[#This Row],[q3_orders_count]]/trending_hrs[[#Totals],[q3_orders_count]]</f>
        <v>4.8019801980198021E-2</v>
      </c>
      <c r="I13" s="4">
        <f>trending_hrs[[#This Row],[% on tot q2 orders]]-trending_hrs[[#This Row],[% on tot q3 orders]]</f>
        <v>-6.3180328142334041E-3</v>
      </c>
      <c r="J13" s="4"/>
      <c r="K13" s="4"/>
      <c r="L13" s="4"/>
      <c r="M13" s="4"/>
      <c r="N13" s="4"/>
      <c r="O13" s="4"/>
      <c r="P13" s="4"/>
      <c r="Q13" s="4"/>
    </row>
    <row r="14" spans="1:17" x14ac:dyDescent="0.3">
      <c r="A14">
        <v>12</v>
      </c>
      <c r="B14">
        <v>113143</v>
      </c>
      <c r="C14">
        <v>10622</v>
      </c>
      <c r="D14">
        <v>12</v>
      </c>
      <c r="E14">
        <v>99</v>
      </c>
      <c r="F14">
        <v>97</v>
      </c>
      <c r="G14" s="2">
        <f>trending_hrs[[#This Row],[q2_orders_count]]/trending_hrs[[#Totals],[q2_orders_count]]</f>
        <v>4.1701769165964617E-2</v>
      </c>
      <c r="H14" s="2">
        <f>trending_hrs[[#This Row],[q3_orders_count]]/trending_hrs[[#Totals],[q3_orders_count]]</f>
        <v>4.8019801980198021E-2</v>
      </c>
      <c r="I14" s="4">
        <f>trending_hrs[[#This Row],[% on tot q2 orders]]-trending_hrs[[#This Row],[% on tot q3 orders]]</f>
        <v>-6.3180328142334041E-3</v>
      </c>
      <c r="J14" s="4"/>
      <c r="K14" s="4"/>
      <c r="L14" s="4"/>
      <c r="M14" s="4"/>
      <c r="N14" s="4"/>
      <c r="O14" s="4"/>
      <c r="P14" s="4"/>
      <c r="Q14" s="4"/>
    </row>
    <row r="15" spans="1:17" x14ac:dyDescent="0.3">
      <c r="A15">
        <v>13</v>
      </c>
      <c r="B15">
        <v>114318</v>
      </c>
      <c r="C15">
        <v>10711</v>
      </c>
      <c r="D15">
        <v>13</v>
      </c>
      <c r="E15">
        <v>99</v>
      </c>
      <c r="F15">
        <v>96</v>
      </c>
      <c r="G15" s="2">
        <f>trending_hrs[[#This Row],[q2_orders_count]]/trending_hrs[[#Totals],[q2_orders_count]]</f>
        <v>4.1701769165964617E-2</v>
      </c>
      <c r="H15" s="2">
        <f>trending_hrs[[#This Row],[q3_orders_count]]/trending_hrs[[#Totals],[q3_orders_count]]</f>
        <v>4.7524752475247525E-2</v>
      </c>
      <c r="I15" s="4">
        <f>trending_hrs[[#This Row],[% on tot q2 orders]]-trending_hrs[[#This Row],[% on tot q3 orders]]</f>
        <v>-5.8229833092829086E-3</v>
      </c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>
        <v>14</v>
      </c>
      <c r="B16">
        <v>114950</v>
      </c>
      <c r="C16">
        <v>11103</v>
      </c>
      <c r="D16">
        <v>14</v>
      </c>
      <c r="E16">
        <v>99</v>
      </c>
      <c r="F16">
        <v>97</v>
      </c>
      <c r="G16" s="2">
        <f>trending_hrs[[#This Row],[q2_orders_count]]/trending_hrs[[#Totals],[q2_orders_count]]</f>
        <v>4.1701769165964617E-2</v>
      </c>
      <c r="H16" s="2">
        <f>trending_hrs[[#This Row],[q3_orders_count]]/trending_hrs[[#Totals],[q3_orders_count]]</f>
        <v>4.8019801980198021E-2</v>
      </c>
      <c r="I16" s="4">
        <f>trending_hrs[[#This Row],[% on tot q2 orders]]-trending_hrs[[#This Row],[% on tot q3 orders]]</f>
        <v>-6.3180328142334041E-3</v>
      </c>
      <c r="J16" s="4"/>
      <c r="K16" s="4"/>
      <c r="L16" s="4"/>
      <c r="M16" s="4"/>
      <c r="N16" s="4"/>
      <c r="O16" s="4"/>
      <c r="P16" s="4"/>
      <c r="Q16" s="4"/>
    </row>
    <row r="17" spans="1:17" x14ac:dyDescent="0.3">
      <c r="A17">
        <v>15</v>
      </c>
      <c r="B17">
        <v>115100</v>
      </c>
      <c r="C17">
        <v>11075</v>
      </c>
      <c r="D17">
        <v>15</v>
      </c>
      <c r="E17">
        <v>99</v>
      </c>
      <c r="F17">
        <v>97</v>
      </c>
      <c r="G17" s="2">
        <f>trending_hrs[[#This Row],[q2_orders_count]]/trending_hrs[[#Totals],[q2_orders_count]]</f>
        <v>4.1701769165964617E-2</v>
      </c>
      <c r="H17" s="2">
        <f>trending_hrs[[#This Row],[q3_orders_count]]/trending_hrs[[#Totals],[q3_orders_count]]</f>
        <v>4.8019801980198021E-2</v>
      </c>
      <c r="I17" s="4">
        <f>trending_hrs[[#This Row],[% on tot q2 orders]]-trending_hrs[[#This Row],[% on tot q3 orders]]</f>
        <v>-6.3180328142334041E-3</v>
      </c>
      <c r="J17" s="4"/>
      <c r="K17" s="4"/>
      <c r="L17" s="4"/>
      <c r="M17" s="4"/>
      <c r="N17" s="4"/>
      <c r="O17" s="4"/>
      <c r="P17" s="4"/>
      <c r="Q17" s="4"/>
    </row>
    <row r="18" spans="1:17" x14ac:dyDescent="0.3">
      <c r="A18">
        <v>16</v>
      </c>
      <c r="B18">
        <v>111744</v>
      </c>
      <c r="C18">
        <v>10495</v>
      </c>
      <c r="D18">
        <v>16</v>
      </c>
      <c r="E18">
        <v>99</v>
      </c>
      <c r="F18">
        <v>95</v>
      </c>
      <c r="G18" s="2">
        <f>trending_hrs[[#This Row],[q2_orders_count]]/trending_hrs[[#Totals],[q2_orders_count]]</f>
        <v>4.1701769165964617E-2</v>
      </c>
      <c r="H18" s="2">
        <f>trending_hrs[[#This Row],[q3_orders_count]]/trending_hrs[[#Totals],[q3_orders_count]]</f>
        <v>4.702970297029703E-2</v>
      </c>
      <c r="I18" s="4">
        <f>trending_hrs[[#This Row],[% on tot q2 orders]]-trending_hrs[[#This Row],[% on tot q3 orders]]</f>
        <v>-5.3279338043324131E-3</v>
      </c>
      <c r="J18" s="4"/>
      <c r="K18" s="4"/>
      <c r="L18" s="4"/>
      <c r="M18" s="4"/>
      <c r="N18" s="4"/>
      <c r="O18" s="4"/>
      <c r="P18" s="4"/>
      <c r="Q18" s="4"/>
    </row>
    <row r="19" spans="1:17" x14ac:dyDescent="0.3">
      <c r="A19">
        <v>17</v>
      </c>
      <c r="B19">
        <v>99630</v>
      </c>
      <c r="C19">
        <v>9353</v>
      </c>
      <c r="D19">
        <v>17</v>
      </c>
      <c r="E19">
        <v>99</v>
      </c>
      <c r="F19">
        <v>97</v>
      </c>
      <c r="G19" s="2">
        <f>trending_hrs[[#This Row],[q2_orders_count]]/trending_hrs[[#Totals],[q2_orders_count]]</f>
        <v>4.1701769165964617E-2</v>
      </c>
      <c r="H19" s="2">
        <f>trending_hrs[[#This Row],[q3_orders_count]]/trending_hrs[[#Totals],[q3_orders_count]]</f>
        <v>4.8019801980198021E-2</v>
      </c>
      <c r="I19" s="4">
        <f>trending_hrs[[#This Row],[% on tot q2 orders]]-trending_hrs[[#This Row],[% on tot q3 orders]]</f>
        <v>-6.3180328142334041E-3</v>
      </c>
      <c r="J19" s="4"/>
      <c r="K19" s="4"/>
      <c r="L19" s="4"/>
      <c r="M19" s="4"/>
      <c r="N19" s="4"/>
      <c r="O19" s="4"/>
      <c r="P19" s="4"/>
      <c r="Q19" s="4"/>
    </row>
    <row r="20" spans="1:17" x14ac:dyDescent="0.3">
      <c r="A20">
        <v>18</v>
      </c>
      <c r="B20">
        <v>85032</v>
      </c>
      <c r="C20">
        <v>7558</v>
      </c>
      <c r="D20">
        <v>18</v>
      </c>
      <c r="E20">
        <v>99</v>
      </c>
      <c r="F20">
        <v>96</v>
      </c>
      <c r="G20" s="2">
        <f>trending_hrs[[#This Row],[q2_orders_count]]/trending_hrs[[#Totals],[q2_orders_count]]</f>
        <v>4.1701769165964617E-2</v>
      </c>
      <c r="H20" s="2">
        <f>trending_hrs[[#This Row],[q3_orders_count]]/trending_hrs[[#Totals],[q3_orders_count]]</f>
        <v>4.7524752475247525E-2</v>
      </c>
      <c r="I20" s="4">
        <f>trending_hrs[[#This Row],[% on tot q2 orders]]-trending_hrs[[#This Row],[% on tot q3 orders]]</f>
        <v>-5.8229833092829086E-3</v>
      </c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>
        <v>19</v>
      </c>
      <c r="B21">
        <v>70212</v>
      </c>
      <c r="C21">
        <v>5721</v>
      </c>
      <c r="D21">
        <v>19</v>
      </c>
      <c r="E21">
        <v>99</v>
      </c>
      <c r="F21">
        <v>93</v>
      </c>
      <c r="G21" s="2">
        <f>trending_hrs[[#This Row],[q2_orders_count]]/trending_hrs[[#Totals],[q2_orders_count]]</f>
        <v>4.1701769165964617E-2</v>
      </c>
      <c r="H21" s="2">
        <f>trending_hrs[[#This Row],[q3_orders_count]]/trending_hrs[[#Totals],[q3_orders_count]]</f>
        <v>4.6039603960396039E-2</v>
      </c>
      <c r="I21" s="4">
        <f>trending_hrs[[#This Row],[% on tot q2 orders]]-trending_hrs[[#This Row],[% on tot q3 orders]]</f>
        <v>-4.3378347944314222E-3</v>
      </c>
      <c r="J21" s="4"/>
      <c r="K21" s="4"/>
      <c r="L21" s="4"/>
      <c r="M21" s="4"/>
      <c r="N21" s="4"/>
      <c r="O21" s="4"/>
      <c r="P21" s="4"/>
      <c r="Q21" s="4"/>
    </row>
    <row r="22" spans="1:17" x14ac:dyDescent="0.3">
      <c r="A22">
        <v>20</v>
      </c>
      <c r="B22">
        <v>56006</v>
      </c>
      <c r="C22">
        <v>3978</v>
      </c>
      <c r="D22">
        <v>20</v>
      </c>
      <c r="E22">
        <v>99</v>
      </c>
      <c r="F22">
        <v>91</v>
      </c>
      <c r="G22" s="2">
        <f>trending_hrs[[#This Row],[q2_orders_count]]/trending_hrs[[#Totals],[q2_orders_count]]</f>
        <v>4.1701769165964617E-2</v>
      </c>
      <c r="H22" s="2">
        <f>trending_hrs[[#This Row],[q3_orders_count]]/trending_hrs[[#Totals],[q3_orders_count]]</f>
        <v>4.5049504950495048E-2</v>
      </c>
      <c r="I22" s="4">
        <f>trending_hrs[[#This Row],[% on tot q2 orders]]-trending_hrs[[#This Row],[% on tot q3 orders]]</f>
        <v>-3.3477357845304312E-3</v>
      </c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>
        <v>21</v>
      </c>
      <c r="B23">
        <v>43451</v>
      </c>
      <c r="C23">
        <v>3050</v>
      </c>
      <c r="D23">
        <v>21</v>
      </c>
      <c r="E23">
        <v>99</v>
      </c>
      <c r="F23">
        <v>91</v>
      </c>
      <c r="G23" s="2">
        <f>trending_hrs[[#This Row],[q2_orders_count]]/trending_hrs[[#Totals],[q2_orders_count]]</f>
        <v>4.1701769165964617E-2</v>
      </c>
      <c r="H23" s="2">
        <f>trending_hrs[[#This Row],[q3_orders_count]]/trending_hrs[[#Totals],[q3_orders_count]]</f>
        <v>4.5049504950495048E-2</v>
      </c>
      <c r="I23" s="4">
        <f>trending_hrs[[#This Row],[% on tot q2 orders]]-trending_hrs[[#This Row],[% on tot q3 orders]]</f>
        <v>-3.3477357845304312E-3</v>
      </c>
      <c r="J23" s="4"/>
      <c r="K23" s="4"/>
      <c r="L23" s="4"/>
      <c r="M23" s="4"/>
      <c r="N23" s="4"/>
      <c r="O23" s="4"/>
      <c r="P23" s="4"/>
      <c r="Q23" s="4"/>
    </row>
    <row r="24" spans="1:17" x14ac:dyDescent="0.3">
      <c r="A24">
        <v>22</v>
      </c>
      <c r="B24">
        <v>35492</v>
      </c>
      <c r="C24">
        <v>2442</v>
      </c>
      <c r="D24">
        <v>22</v>
      </c>
      <c r="E24">
        <v>99</v>
      </c>
      <c r="F24">
        <v>91</v>
      </c>
      <c r="G24" s="2">
        <f>trending_hrs[[#This Row],[q2_orders_count]]/trending_hrs[[#Totals],[q2_orders_count]]</f>
        <v>4.1701769165964617E-2</v>
      </c>
      <c r="H24" s="2">
        <f>trending_hrs[[#This Row],[q3_orders_count]]/trending_hrs[[#Totals],[q3_orders_count]]</f>
        <v>4.5049504950495048E-2</v>
      </c>
      <c r="I24" s="4">
        <f>trending_hrs[[#This Row],[% on tot q2 orders]]-trending_hrs[[#This Row],[% on tot q3 orders]]</f>
        <v>-3.3477357845304312E-3</v>
      </c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>
        <v>23</v>
      </c>
      <c r="B25">
        <v>24866</v>
      </c>
      <c r="C25">
        <v>1526</v>
      </c>
      <c r="D25">
        <v>23</v>
      </c>
      <c r="E25">
        <v>99</v>
      </c>
      <c r="F25">
        <v>85</v>
      </c>
      <c r="G25" s="2">
        <f>trending_hrs[[#This Row],[q2_orders_count]]/trending_hrs[[#Totals],[q2_orders_count]]</f>
        <v>4.1701769165964617E-2</v>
      </c>
      <c r="H25" s="2">
        <f>trending_hrs[[#This Row],[q3_orders_count]]/trending_hrs[[#Totals],[q3_orders_count]]</f>
        <v>4.2079207920792082E-2</v>
      </c>
      <c r="I25" s="4">
        <f>trending_hrs[[#This Row],[% on tot q2 orders]]-trending_hrs[[#This Row],[% on tot q3 orders]]</f>
        <v>-3.7743875482746519E-4</v>
      </c>
      <c r="J25" s="4"/>
      <c r="K25" s="4"/>
      <c r="L25" s="4"/>
      <c r="M25" s="4"/>
      <c r="N25" s="4"/>
      <c r="O25" s="4"/>
      <c r="P25" s="4"/>
      <c r="Q25" s="4"/>
    </row>
    <row r="26" spans="1:17" x14ac:dyDescent="0.3">
      <c r="E26">
        <f>SUM(trending_hrs[q2_orders_count])</f>
        <v>2374</v>
      </c>
      <c r="F26">
        <f>SUM(trending_hrs[q3_orders_count])</f>
        <v>2020</v>
      </c>
      <c r="G26" s="3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8954-5337-427F-9A1F-E0D6C2D75476}">
  <dimension ref="A1:F8"/>
  <sheetViews>
    <sheetView tabSelected="1" workbookViewId="0">
      <selection activeCell="H5" sqref="H5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3" width="17.6640625" bestFit="1" customWidth="1"/>
    <col min="4" max="4" width="15.33203125" bestFit="1" customWidth="1"/>
    <col min="5" max="5" width="16.6640625" bestFit="1" customWidth="1"/>
    <col min="6" max="6" width="17.6640625" bestFit="1" customWidth="1"/>
  </cols>
  <sheetData>
    <row r="1" spans="1:6" x14ac:dyDescent="0.3">
      <c r="A1" t="s">
        <v>9</v>
      </c>
      <c r="B1" t="s">
        <v>1</v>
      </c>
      <c r="C1" t="s">
        <v>4</v>
      </c>
      <c r="D1" t="s">
        <v>10</v>
      </c>
      <c r="E1" t="s">
        <v>2</v>
      </c>
      <c r="F1" t="s">
        <v>5</v>
      </c>
    </row>
    <row r="2" spans="1:6" x14ac:dyDescent="0.3">
      <c r="A2">
        <v>0</v>
      </c>
      <c r="B2">
        <v>145300</v>
      </c>
      <c r="C2">
        <v>27465</v>
      </c>
      <c r="D2">
        <v>0</v>
      </c>
      <c r="E2">
        <v>99</v>
      </c>
      <c r="F2">
        <v>97</v>
      </c>
    </row>
    <row r="3" spans="1:6" x14ac:dyDescent="0.3">
      <c r="A3">
        <v>1</v>
      </c>
      <c r="B3">
        <v>151528</v>
      </c>
      <c r="C3">
        <v>19672</v>
      </c>
      <c r="D3">
        <v>1</v>
      </c>
      <c r="E3">
        <v>99</v>
      </c>
      <c r="F3">
        <v>92</v>
      </c>
    </row>
    <row r="4" spans="1:6" x14ac:dyDescent="0.3">
      <c r="A4">
        <v>2</v>
      </c>
      <c r="B4">
        <v>140248</v>
      </c>
      <c r="C4">
        <v>16119</v>
      </c>
      <c r="D4">
        <v>2</v>
      </c>
      <c r="E4">
        <v>99</v>
      </c>
      <c r="F4">
        <v>95</v>
      </c>
    </row>
    <row r="5" spans="1:6" x14ac:dyDescent="0.3">
      <c r="A5">
        <v>3</v>
      </c>
      <c r="B5">
        <v>135375</v>
      </c>
      <c r="C5">
        <v>15687</v>
      </c>
      <c r="D5">
        <v>3</v>
      </c>
      <c r="E5">
        <v>99</v>
      </c>
      <c r="F5">
        <v>97</v>
      </c>
    </row>
    <row r="6" spans="1:6" x14ac:dyDescent="0.3">
      <c r="A6">
        <v>4</v>
      </c>
      <c r="B6">
        <v>132186</v>
      </c>
      <c r="C6">
        <v>15959</v>
      </c>
      <c r="D6">
        <v>4</v>
      </c>
      <c r="E6">
        <v>99</v>
      </c>
      <c r="F6">
        <v>97</v>
      </c>
    </row>
    <row r="7" spans="1:6" x14ac:dyDescent="0.3">
      <c r="A7">
        <v>5</v>
      </c>
      <c r="B7">
        <v>133893</v>
      </c>
      <c r="C7">
        <v>17406</v>
      </c>
      <c r="D7">
        <v>5</v>
      </c>
      <c r="E7">
        <v>99</v>
      </c>
      <c r="F7">
        <v>97</v>
      </c>
    </row>
    <row r="8" spans="1:6" x14ac:dyDescent="0.3">
      <c r="A8">
        <v>6</v>
      </c>
      <c r="B8">
        <v>128327</v>
      </c>
      <c r="C8">
        <v>18901</v>
      </c>
      <c r="D8">
        <v>6</v>
      </c>
      <c r="E8">
        <v>99</v>
      </c>
      <c r="F8">
        <v>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D4C16-D32A-44C4-9F98-7D4E9F2B0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trending_hrs</vt:lpstr>
      <vt:lpstr>trending_dow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Juglair</dc:creator>
  <cp:lastModifiedBy>Kristel Juglair</cp:lastModifiedBy>
  <dcterms:created xsi:type="dcterms:W3CDTF">2015-06-05T18:17:20Z</dcterms:created>
  <dcterms:modified xsi:type="dcterms:W3CDTF">2025-11-06T20:09:30Z</dcterms:modified>
</cp:coreProperties>
</file>